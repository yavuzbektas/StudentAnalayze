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456" windowWidth="22260" windowHeight="12648" activeTab="1"/>
  </bookViews>
  <sheets>
    <sheet name="Sayfa1" sheetId="1" r:id="rId1"/>
    <sheet name="Sayfa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0" i="2" l="1"/>
  <c r="D21" i="2"/>
  <c r="D22" i="2"/>
  <c r="D23" i="2"/>
  <c r="D28" i="2" s="1"/>
  <c r="Q22" i="2" s="1"/>
  <c r="D24" i="2"/>
  <c r="D25" i="2"/>
  <c r="D26" i="2"/>
  <c r="D27" i="2"/>
  <c r="D19" i="2"/>
  <c r="U18" i="2"/>
  <c r="V18" i="2"/>
  <c r="W18" i="2"/>
  <c r="X18" i="2"/>
  <c r="T18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V6" i="2"/>
  <c r="V7" i="2"/>
  <c r="V8" i="2"/>
  <c r="V9" i="2"/>
  <c r="V10" i="2"/>
  <c r="V11" i="2"/>
  <c r="V12" i="2"/>
  <c r="V13" i="2"/>
  <c r="V14" i="2"/>
  <c r="V15" i="2"/>
  <c r="V16" i="2"/>
  <c r="V17" i="2"/>
  <c r="V5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T6" i="2"/>
  <c r="T7" i="2"/>
  <c r="T8" i="2"/>
  <c r="T9" i="2"/>
  <c r="T10" i="2"/>
  <c r="T11" i="2"/>
  <c r="T12" i="2"/>
  <c r="T13" i="2"/>
  <c r="T14" i="2"/>
  <c r="T15" i="2"/>
  <c r="T16" i="2"/>
  <c r="T17" i="2"/>
  <c r="T5" i="2"/>
</calcChain>
</file>

<file path=xl/sharedStrings.xml><?xml version="1.0" encoding="utf-8"?>
<sst xmlns="http://schemas.openxmlformats.org/spreadsheetml/2006/main" count="84" uniqueCount="57">
  <si>
    <t>Öğrenci değerlendirme kriter belirleme</t>
  </si>
  <si>
    <t>Proje Notu</t>
  </si>
  <si>
    <t>Okuduğu Kitap</t>
  </si>
  <si>
    <t>Yapılan Ödev</t>
  </si>
  <si>
    <t>Dönem Sonu Ödevi</t>
  </si>
  <si>
    <t>Raporsuz Devamsızlık</t>
  </si>
  <si>
    <t>Başarı belgesi</t>
  </si>
  <si>
    <t>Onur Belgesi</t>
  </si>
  <si>
    <t>Sertifika</t>
  </si>
  <si>
    <t>Yarışma Katılımı</t>
  </si>
  <si>
    <t>Yarışma Derecesi</t>
  </si>
  <si>
    <t>Puanlama Adı</t>
  </si>
  <si>
    <t>Puan</t>
  </si>
  <si>
    <t>Token %</t>
  </si>
  <si>
    <t>Performans Notu</t>
  </si>
  <si>
    <t>Yazılı Sınav Notu</t>
  </si>
  <si>
    <t>0-100</t>
  </si>
  <si>
    <t>Örnek Hesaplama</t>
  </si>
  <si>
    <t>-</t>
  </si>
  <si>
    <t>BİLGİSAYARLA DEVRE DİZAYNI</t>
  </si>
  <si>
    <t>94,40</t>
  </si>
  <si>
    <t>BİYOLOJİ</t>
  </si>
  <si>
    <t>COĞRAFYA</t>
  </si>
  <si>
    <t>DİN KÜLTÜRÜ VE AHLÂK BİLGİSİ</t>
  </si>
  <si>
    <t>93,50</t>
  </si>
  <si>
    <t>ELEKTRİK-ELEKTRONİK ESASLARI</t>
  </si>
  <si>
    <t>FELSEFE</t>
  </si>
  <si>
    <t>92,50</t>
  </si>
  <si>
    <t>FİZİK</t>
  </si>
  <si>
    <t>KİMYA</t>
  </si>
  <si>
    <t>KUMANDA VE KONTROL ATÖLYESİ</t>
  </si>
  <si>
    <t>94,60</t>
  </si>
  <si>
    <t>MATEMATİK</t>
  </si>
  <si>
    <t>93,80</t>
  </si>
  <si>
    <t>TARİH</t>
  </si>
  <si>
    <t>TÜRK DİLİ VE EDEBİYATI</t>
  </si>
  <si>
    <t>86,40</t>
  </si>
  <si>
    <t>YABANCI DİL</t>
  </si>
  <si>
    <t>DERSLER</t>
  </si>
  <si>
    <t>Sınav Puanları</t>
  </si>
  <si>
    <t>Performans</t>
  </si>
  <si>
    <t>Uygulama</t>
  </si>
  <si>
    <t>Proje</t>
  </si>
  <si>
    <t>Puanı</t>
  </si>
  <si>
    <t>Ortak</t>
  </si>
  <si>
    <t>Sınav</t>
  </si>
  <si>
    <t>Muaf</t>
  </si>
  <si>
    <t>EDEN EĞİTİMİ VE SPOR/GÖRSEL SANATLAR/MÜZİK</t>
  </si>
  <si>
    <t>Öğrenci Adı</t>
  </si>
  <si>
    <t>Sınıf</t>
  </si>
  <si>
    <t>Toplam Dönem Token</t>
  </si>
  <si>
    <t>Ahmet Furkan</t>
  </si>
  <si>
    <t>11B</t>
  </si>
  <si>
    <t>Sütun1</t>
  </si>
  <si>
    <t>Sütun2</t>
  </si>
  <si>
    <t>Sütun3</t>
  </si>
  <si>
    <t>Sütun4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</si>
</sst>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7"/>
      <color theme="1"/>
      <name val="Arial"/>
      <family val="2"/>
      <charset val="162"/>
    </font>
    <font>
      <b/>
      <sz val="7"/>
      <color rgb="FF840000"/>
      <name val="Verdana"/>
      <family val="2"/>
      <charset val="162"/>
    </font>
    <font>
      <sz val="7"/>
      <color rgb="FFFFFFFF"/>
      <name val="Arial"/>
      <family val="2"/>
      <charset val="16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2C3C5D"/>
        <bgColor indexed="64"/>
      </patternFill>
    </fill>
  </fills>
  <borders count="14">
    <border>
      <left/>
      <right/>
      <top/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  <border>
      <left/>
      <right style="medium">
        <color rgb="FFCCCCCC"/>
      </right>
      <top/>
      <bottom/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/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/>
      <right/>
      <top style="medium">
        <color rgb="FFCCCCCC"/>
      </top>
      <bottom style="medium">
        <color rgb="FFEEEEEE"/>
      </bottom>
      <diagonal/>
    </border>
    <border>
      <left/>
      <right style="medium">
        <color rgb="FFCCCCCC"/>
      </right>
      <top style="medium">
        <color rgb="FFCCCCCC"/>
      </top>
      <bottom style="medium">
        <color rgb="FFEEEEEE"/>
      </bottom>
      <diagonal/>
    </border>
    <border>
      <left/>
      <right/>
      <top style="medium">
        <color rgb="FFEEEEEE"/>
      </top>
      <bottom/>
      <diagonal/>
    </border>
    <border>
      <left/>
      <right style="medium">
        <color rgb="FFCCCCCC"/>
      </right>
      <top style="medium">
        <color rgb="FFEEEEEE"/>
      </top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o1" displayName="Tablo1" ref="O19:R22" totalsRowShown="0" headerRowDxfId="0">
  <autoFilter ref="O19:R22"/>
  <tableColumns count="4">
    <tableColumn id="1" name="Sütun1"/>
    <tableColumn id="2" name="Sütun2"/>
    <tableColumn id="3" name="Sütun3" dataDxfId="2"/>
    <tableColumn id="4" name="Sütun4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C3:K16"/>
  <sheetViews>
    <sheetView workbookViewId="0">
      <selection activeCell="E13" sqref="E13"/>
    </sheetView>
  </sheetViews>
  <sheetFormatPr defaultRowHeight="14.4" x14ac:dyDescent="0.3"/>
  <cols>
    <col min="3" max="3" width="20.88671875" customWidth="1"/>
  </cols>
  <sheetData>
    <row r="3" spans="3:11" x14ac:dyDescent="0.3">
      <c r="C3" s="2" t="s">
        <v>0</v>
      </c>
      <c r="D3" s="2"/>
      <c r="E3" s="2"/>
      <c r="F3" s="2"/>
      <c r="G3" s="2"/>
      <c r="H3" s="2"/>
      <c r="I3" s="2"/>
    </row>
    <row r="4" spans="3:11" x14ac:dyDescent="0.3">
      <c r="C4" s="1" t="s">
        <v>11</v>
      </c>
      <c r="D4" s="1" t="s">
        <v>12</v>
      </c>
      <c r="E4" s="1" t="s">
        <v>13</v>
      </c>
      <c r="F4" s="1"/>
      <c r="G4" s="1"/>
      <c r="H4" s="1"/>
      <c r="I4" s="1"/>
      <c r="K4" t="s">
        <v>17</v>
      </c>
    </row>
    <row r="5" spans="3:11" x14ac:dyDescent="0.3">
      <c r="C5" t="s">
        <v>14</v>
      </c>
      <c r="D5" t="s">
        <v>16</v>
      </c>
      <c r="E5">
        <v>1E-3</v>
      </c>
    </row>
    <row r="6" spans="3:11" x14ac:dyDescent="0.3">
      <c r="C6" t="s">
        <v>15</v>
      </c>
      <c r="D6" t="s">
        <v>16</v>
      </c>
      <c r="E6">
        <v>1E-3</v>
      </c>
    </row>
    <row r="7" spans="3:11" x14ac:dyDescent="0.3">
      <c r="C7" t="s">
        <v>1</v>
      </c>
      <c r="D7" t="s">
        <v>16</v>
      </c>
      <c r="E7">
        <v>1E-3</v>
      </c>
    </row>
    <row r="8" spans="3:11" x14ac:dyDescent="0.3">
      <c r="C8" t="s">
        <v>2</v>
      </c>
      <c r="E8">
        <v>1.0000000000000001E-5</v>
      </c>
    </row>
    <row r="9" spans="3:11" x14ac:dyDescent="0.3">
      <c r="C9" t="s">
        <v>3</v>
      </c>
      <c r="E9">
        <v>1E-4</v>
      </c>
    </row>
    <row r="10" spans="3:11" x14ac:dyDescent="0.3">
      <c r="C10" t="s">
        <v>4</v>
      </c>
      <c r="E10">
        <v>1.4999999999999999E-4</v>
      </c>
    </row>
    <row r="11" spans="3:11" x14ac:dyDescent="0.3">
      <c r="C11" t="s">
        <v>5</v>
      </c>
      <c r="E11">
        <v>-1E-4</v>
      </c>
    </row>
    <row r="12" spans="3:11" x14ac:dyDescent="0.3">
      <c r="C12" t="s">
        <v>6</v>
      </c>
      <c r="E12">
        <v>1.4999999999999999E-4</v>
      </c>
    </row>
    <row r="13" spans="3:11" x14ac:dyDescent="0.3">
      <c r="C13" t="s">
        <v>7</v>
      </c>
      <c r="E13">
        <v>5.0000000000000002E-5</v>
      </c>
    </row>
    <row r="14" spans="3:11" x14ac:dyDescent="0.3">
      <c r="C14" t="s">
        <v>8</v>
      </c>
      <c r="E14">
        <v>1E-4</v>
      </c>
    </row>
    <row r="15" spans="3:11" x14ac:dyDescent="0.3">
      <c r="C15" t="s">
        <v>9</v>
      </c>
      <c r="E15">
        <v>5.0000000000000002E-5</v>
      </c>
    </row>
    <row r="16" spans="3:11" x14ac:dyDescent="0.3">
      <c r="C16" t="s">
        <v>10</v>
      </c>
      <c r="E16">
        <v>1E-3</v>
      </c>
    </row>
  </sheetData>
  <mergeCells count="1">
    <mergeCell ref="C3:I3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1:X28"/>
  <sheetViews>
    <sheetView tabSelected="1" topLeftCell="A10" workbookViewId="0">
      <selection activeCell="C24" sqref="C24"/>
    </sheetView>
  </sheetViews>
  <sheetFormatPr defaultRowHeight="14.4" x14ac:dyDescent="0.3"/>
  <cols>
    <col min="2" max="2" width="28" customWidth="1"/>
    <col min="3" max="3" width="4" bestFit="1" customWidth="1"/>
    <col min="4" max="4" width="8" bestFit="1" customWidth="1"/>
    <col min="5" max="5" width="2.33203125" bestFit="1" customWidth="1"/>
    <col min="6" max="7" width="1.5546875" bestFit="1" customWidth="1"/>
    <col min="8" max="8" width="4.109375" bestFit="1" customWidth="1"/>
    <col min="9" max="11" width="3.109375" bestFit="1" customWidth="1"/>
    <col min="12" max="14" width="1.5546875" bestFit="1" customWidth="1"/>
    <col min="16" max="16" width="11" customWidth="1"/>
    <col min="19" max="19" width="3.6640625" bestFit="1" customWidth="1"/>
  </cols>
  <sheetData>
    <row r="1" spans="2:24" ht="15" thickBot="1" x14ac:dyDescent="0.35">
      <c r="B1" s="19" t="s">
        <v>38</v>
      </c>
      <c r="C1" s="22" t="s">
        <v>39</v>
      </c>
      <c r="D1" s="22"/>
      <c r="E1" s="22"/>
      <c r="F1" s="22"/>
      <c r="G1" s="22"/>
      <c r="H1" s="22"/>
      <c r="I1" s="22" t="s">
        <v>40</v>
      </c>
      <c r="J1" s="22"/>
      <c r="K1" s="22"/>
      <c r="L1" s="22" t="s">
        <v>41</v>
      </c>
      <c r="M1" s="22"/>
      <c r="N1" s="22"/>
      <c r="O1" s="22" t="s">
        <v>42</v>
      </c>
      <c r="P1" s="22"/>
      <c r="Q1" s="22" t="s">
        <v>43</v>
      </c>
      <c r="R1" s="22"/>
      <c r="S1" s="23"/>
    </row>
    <row r="2" spans="2:24" x14ac:dyDescent="0.3">
      <c r="B2" s="20"/>
      <c r="C2" s="24">
        <v>1</v>
      </c>
      <c r="D2" s="24">
        <v>2</v>
      </c>
      <c r="E2" s="24">
        <v>3</v>
      </c>
      <c r="F2" s="24">
        <v>4</v>
      </c>
      <c r="G2" s="24">
        <v>5</v>
      </c>
      <c r="H2" s="17" t="s">
        <v>44</v>
      </c>
      <c r="I2" s="24">
        <v>1</v>
      </c>
      <c r="J2" s="24">
        <v>2</v>
      </c>
      <c r="K2" s="24">
        <v>3</v>
      </c>
      <c r="L2" s="24">
        <v>1</v>
      </c>
      <c r="M2" s="24">
        <v>2</v>
      </c>
      <c r="N2" s="24">
        <v>3</v>
      </c>
      <c r="O2" s="24" t="s">
        <v>42</v>
      </c>
      <c r="P2" s="24"/>
      <c r="Q2" s="24" t="s">
        <v>12</v>
      </c>
      <c r="R2" s="24"/>
      <c r="S2" s="26" t="s">
        <v>46</v>
      </c>
    </row>
    <row r="3" spans="2:24" ht="15" thickBot="1" x14ac:dyDescent="0.35">
      <c r="B3" s="21"/>
      <c r="C3" s="25"/>
      <c r="D3" s="25"/>
      <c r="E3" s="25"/>
      <c r="F3" s="25"/>
      <c r="G3" s="25"/>
      <c r="H3" s="18" t="s">
        <v>45</v>
      </c>
      <c r="I3" s="25"/>
      <c r="J3" s="25"/>
      <c r="K3" s="25"/>
      <c r="L3" s="25"/>
      <c r="M3" s="25"/>
      <c r="N3" s="25"/>
      <c r="O3" s="25"/>
      <c r="P3" s="25"/>
      <c r="Q3" s="25"/>
      <c r="R3" s="25"/>
      <c r="S3" s="27"/>
    </row>
    <row r="4" spans="2:24" ht="19.8" thickBot="1" x14ac:dyDescent="0.35">
      <c r="B4" s="28" t="s">
        <v>47</v>
      </c>
      <c r="C4" s="29"/>
      <c r="D4" s="29"/>
      <c r="E4" s="29"/>
      <c r="F4" s="29"/>
      <c r="G4" s="29"/>
      <c r="H4" s="29"/>
      <c r="I4" s="29">
        <v>100</v>
      </c>
      <c r="J4" s="29">
        <v>100</v>
      </c>
      <c r="K4" s="29"/>
      <c r="L4" s="29">
        <v>100</v>
      </c>
      <c r="M4" s="29"/>
      <c r="N4" s="29"/>
      <c r="O4" s="31"/>
      <c r="P4" s="31"/>
      <c r="Q4" s="32">
        <v>100</v>
      </c>
      <c r="R4" s="32"/>
      <c r="S4" s="30" t="s">
        <v>18</v>
      </c>
    </row>
    <row r="5" spans="2:24" x14ac:dyDescent="0.3">
      <c r="B5" s="5" t="s">
        <v>19</v>
      </c>
      <c r="C5" s="4">
        <v>88</v>
      </c>
      <c r="D5" s="4">
        <v>94</v>
      </c>
      <c r="E5" s="4"/>
      <c r="F5" s="4"/>
      <c r="G5" s="4"/>
      <c r="H5" s="4"/>
      <c r="I5" s="4">
        <v>95</v>
      </c>
      <c r="J5" s="4">
        <v>95</v>
      </c>
      <c r="K5" s="4">
        <v>100</v>
      </c>
      <c r="L5" s="4"/>
      <c r="M5" s="4"/>
      <c r="N5" s="4"/>
      <c r="O5" s="12"/>
      <c r="P5" s="12"/>
      <c r="Q5" s="13" t="s">
        <v>20</v>
      </c>
      <c r="R5" s="13"/>
      <c r="S5" s="6" t="s">
        <v>18</v>
      </c>
      <c r="T5">
        <f>C5*Sayfa1!$E$6</f>
        <v>8.7999999999999995E-2</v>
      </c>
      <c r="U5">
        <f>D5*Sayfa1!$E$6</f>
        <v>9.4E-2</v>
      </c>
      <c r="V5">
        <f>I5*Sayfa1!$E$6</f>
        <v>9.5000000000000001E-2</v>
      </c>
      <c r="W5">
        <f>J5*Sayfa1!$E$6</f>
        <v>9.5000000000000001E-2</v>
      </c>
      <c r="X5">
        <f>K5*Sayfa1!$E$6</f>
        <v>0.1</v>
      </c>
    </row>
    <row r="6" spans="2:24" x14ac:dyDescent="0.3">
      <c r="B6" s="7" t="s">
        <v>21</v>
      </c>
      <c r="C6" s="3">
        <v>100</v>
      </c>
      <c r="D6" s="3">
        <v>84</v>
      </c>
      <c r="E6" s="3"/>
      <c r="F6" s="3"/>
      <c r="G6" s="3"/>
      <c r="H6" s="3"/>
      <c r="I6" s="3">
        <v>100</v>
      </c>
      <c r="J6" s="3">
        <v>100</v>
      </c>
      <c r="K6" s="3"/>
      <c r="L6" s="3"/>
      <c r="M6" s="3"/>
      <c r="N6" s="3"/>
      <c r="O6" s="14"/>
      <c r="P6" s="14"/>
      <c r="Q6" s="13">
        <v>96</v>
      </c>
      <c r="R6" s="13"/>
      <c r="S6" s="8" t="s">
        <v>18</v>
      </c>
      <c r="T6">
        <f>C6*Sayfa1!$E$6</f>
        <v>0.1</v>
      </c>
      <c r="U6">
        <f>D6*Sayfa1!$E$6</f>
        <v>8.4000000000000005E-2</v>
      </c>
      <c r="V6">
        <f>I6*Sayfa1!$E$6</f>
        <v>0.1</v>
      </c>
      <c r="W6">
        <f>J6*Sayfa1!$E$6</f>
        <v>0.1</v>
      </c>
      <c r="X6">
        <f>K6*Sayfa1!$E$6</f>
        <v>0</v>
      </c>
    </row>
    <row r="7" spans="2:24" x14ac:dyDescent="0.3">
      <c r="B7" s="5" t="s">
        <v>22</v>
      </c>
      <c r="C7" s="4">
        <v>94</v>
      </c>
      <c r="D7" s="4">
        <v>84</v>
      </c>
      <c r="E7" s="4"/>
      <c r="F7" s="4"/>
      <c r="G7" s="4"/>
      <c r="H7" s="4"/>
      <c r="I7" s="4">
        <v>90</v>
      </c>
      <c r="J7" s="4">
        <v>100</v>
      </c>
      <c r="K7" s="4"/>
      <c r="L7" s="4"/>
      <c r="M7" s="4"/>
      <c r="N7" s="4"/>
      <c r="O7" s="12"/>
      <c r="P7" s="12"/>
      <c r="Q7" s="13">
        <v>92</v>
      </c>
      <c r="R7" s="13"/>
      <c r="S7" s="6" t="s">
        <v>18</v>
      </c>
      <c r="T7">
        <f>C7*Sayfa1!$E$6</f>
        <v>9.4E-2</v>
      </c>
      <c r="U7">
        <f>D7*Sayfa1!$E$6</f>
        <v>8.4000000000000005E-2</v>
      </c>
      <c r="V7">
        <f>I7*Sayfa1!$E$6</f>
        <v>0.09</v>
      </c>
      <c r="W7">
        <f>J7*Sayfa1!$E$6</f>
        <v>0.1</v>
      </c>
      <c r="X7">
        <f>K7*Sayfa1!$E$6</f>
        <v>0</v>
      </c>
    </row>
    <row r="8" spans="2:24" x14ac:dyDescent="0.3">
      <c r="B8" s="7" t="s">
        <v>23</v>
      </c>
      <c r="C8" s="3">
        <v>94</v>
      </c>
      <c r="D8" s="3">
        <v>80</v>
      </c>
      <c r="E8" s="3"/>
      <c r="F8" s="3"/>
      <c r="G8" s="3"/>
      <c r="H8" s="3"/>
      <c r="I8" s="3">
        <v>100</v>
      </c>
      <c r="J8" s="3">
        <v>100</v>
      </c>
      <c r="K8" s="3"/>
      <c r="L8" s="3"/>
      <c r="M8" s="3"/>
      <c r="N8" s="3"/>
      <c r="O8" s="14"/>
      <c r="P8" s="14"/>
      <c r="Q8" s="13" t="s">
        <v>24</v>
      </c>
      <c r="R8" s="13"/>
      <c r="S8" s="8" t="s">
        <v>18</v>
      </c>
      <c r="T8">
        <f>C8*Sayfa1!$E$6</f>
        <v>9.4E-2</v>
      </c>
      <c r="U8">
        <f>D8*Sayfa1!$E$6</f>
        <v>0.08</v>
      </c>
      <c r="V8">
        <f>I8*Sayfa1!$E$6</f>
        <v>0.1</v>
      </c>
      <c r="W8">
        <f>J8*Sayfa1!$E$6</f>
        <v>0.1</v>
      </c>
      <c r="X8">
        <f>K8*Sayfa1!$E$6</f>
        <v>0</v>
      </c>
    </row>
    <row r="9" spans="2:24" x14ac:dyDescent="0.3">
      <c r="B9" s="5" t="s">
        <v>25</v>
      </c>
      <c r="C9" s="4">
        <v>92</v>
      </c>
      <c r="D9" s="4">
        <v>90</v>
      </c>
      <c r="E9" s="4"/>
      <c r="F9" s="4"/>
      <c r="G9" s="4"/>
      <c r="H9" s="4"/>
      <c r="I9" s="4">
        <v>95</v>
      </c>
      <c r="J9" s="4">
        <v>95</v>
      </c>
      <c r="K9" s="4">
        <v>100</v>
      </c>
      <c r="L9" s="4"/>
      <c r="M9" s="4"/>
      <c r="N9" s="4"/>
      <c r="O9" s="12"/>
      <c r="P9" s="12"/>
      <c r="Q9" s="13" t="s">
        <v>20</v>
      </c>
      <c r="R9" s="13"/>
      <c r="S9" s="6" t="s">
        <v>18</v>
      </c>
      <c r="T9">
        <f>C9*Sayfa1!$E$6</f>
        <v>9.1999999999999998E-2</v>
      </c>
      <c r="U9">
        <f>D9*Sayfa1!$E$6</f>
        <v>0.09</v>
      </c>
      <c r="V9">
        <f>I9*Sayfa1!$E$6</f>
        <v>9.5000000000000001E-2</v>
      </c>
      <c r="W9">
        <f>J9*Sayfa1!$E$6</f>
        <v>9.5000000000000001E-2</v>
      </c>
      <c r="X9">
        <f>K9*Sayfa1!$E$6</f>
        <v>0.1</v>
      </c>
    </row>
    <row r="10" spans="2:24" x14ac:dyDescent="0.3">
      <c r="B10" s="7" t="s">
        <v>26</v>
      </c>
      <c r="C10" s="3">
        <v>80</v>
      </c>
      <c r="D10" s="3">
        <v>90</v>
      </c>
      <c r="E10" s="3"/>
      <c r="F10" s="3"/>
      <c r="G10" s="3"/>
      <c r="H10" s="3"/>
      <c r="I10" s="3">
        <v>100</v>
      </c>
      <c r="J10" s="3">
        <v>100</v>
      </c>
      <c r="K10" s="3"/>
      <c r="L10" s="3"/>
      <c r="M10" s="3"/>
      <c r="N10" s="3"/>
      <c r="O10" s="14"/>
      <c r="P10" s="14"/>
      <c r="Q10" s="13" t="s">
        <v>27</v>
      </c>
      <c r="R10" s="13"/>
      <c r="S10" s="8" t="s">
        <v>18</v>
      </c>
      <c r="T10">
        <f>C10*Sayfa1!$E$6</f>
        <v>0.08</v>
      </c>
      <c r="U10">
        <f>D10*Sayfa1!$E$6</f>
        <v>0.09</v>
      </c>
      <c r="V10">
        <f>I10*Sayfa1!$E$6</f>
        <v>0.1</v>
      </c>
      <c r="W10">
        <f>J10*Sayfa1!$E$6</f>
        <v>0.1</v>
      </c>
      <c r="X10">
        <f>K10*Sayfa1!$E$6</f>
        <v>0</v>
      </c>
    </row>
    <row r="11" spans="2:24" x14ac:dyDescent="0.3">
      <c r="B11" s="5" t="s">
        <v>28</v>
      </c>
      <c r="C11" s="4">
        <v>90</v>
      </c>
      <c r="D11" s="4">
        <v>70</v>
      </c>
      <c r="E11" s="4"/>
      <c r="F11" s="4"/>
      <c r="G11" s="4"/>
      <c r="H11" s="4"/>
      <c r="I11" s="4">
        <v>100</v>
      </c>
      <c r="J11" s="4">
        <v>100</v>
      </c>
      <c r="K11" s="4"/>
      <c r="L11" s="4"/>
      <c r="M11" s="4"/>
      <c r="N11" s="4"/>
      <c r="O11" s="12"/>
      <c r="P11" s="12"/>
      <c r="Q11" s="13">
        <v>90</v>
      </c>
      <c r="R11" s="13"/>
      <c r="S11" s="6" t="s">
        <v>18</v>
      </c>
      <c r="T11">
        <f>C11*Sayfa1!$E$6</f>
        <v>0.09</v>
      </c>
      <c r="U11">
        <f>D11*Sayfa1!$E$6</f>
        <v>7.0000000000000007E-2</v>
      </c>
      <c r="V11">
        <f>I11*Sayfa1!$E$6</f>
        <v>0.1</v>
      </c>
      <c r="W11">
        <f>J11*Sayfa1!$E$6</f>
        <v>0.1</v>
      </c>
      <c r="X11">
        <f>K11*Sayfa1!$E$6</f>
        <v>0</v>
      </c>
    </row>
    <row r="12" spans="2:24" x14ac:dyDescent="0.3">
      <c r="B12" s="7" t="s">
        <v>29</v>
      </c>
      <c r="C12" s="3">
        <v>97</v>
      </c>
      <c r="D12" s="3">
        <v>75</v>
      </c>
      <c r="E12" s="3"/>
      <c r="F12" s="3"/>
      <c r="G12" s="3"/>
      <c r="H12" s="3"/>
      <c r="I12" s="3">
        <v>100</v>
      </c>
      <c r="J12" s="3">
        <v>100</v>
      </c>
      <c r="K12" s="3"/>
      <c r="L12" s="3"/>
      <c r="M12" s="3"/>
      <c r="N12" s="3"/>
      <c r="O12" s="14"/>
      <c r="P12" s="14"/>
      <c r="Q12" s="13">
        <v>93</v>
      </c>
      <c r="R12" s="13"/>
      <c r="S12" s="8" t="s">
        <v>18</v>
      </c>
      <c r="T12">
        <f>C12*Sayfa1!$E$6</f>
        <v>9.7000000000000003E-2</v>
      </c>
      <c r="U12">
        <f>D12*Sayfa1!$E$6</f>
        <v>7.4999999999999997E-2</v>
      </c>
      <c r="V12">
        <f>I12*Sayfa1!$E$6</f>
        <v>0.1</v>
      </c>
      <c r="W12">
        <f>J12*Sayfa1!$E$6</f>
        <v>0.1</v>
      </c>
      <c r="X12">
        <f>K12*Sayfa1!$E$6</f>
        <v>0</v>
      </c>
    </row>
    <row r="13" spans="2:24" x14ac:dyDescent="0.3">
      <c r="B13" s="5" t="s">
        <v>30</v>
      </c>
      <c r="C13" s="4">
        <v>83</v>
      </c>
      <c r="D13" s="4">
        <v>100</v>
      </c>
      <c r="E13" s="4"/>
      <c r="F13" s="4"/>
      <c r="G13" s="4"/>
      <c r="H13" s="4"/>
      <c r="I13" s="4">
        <v>95</v>
      </c>
      <c r="J13" s="4">
        <v>95</v>
      </c>
      <c r="K13" s="4">
        <v>100</v>
      </c>
      <c r="L13" s="4"/>
      <c r="M13" s="4"/>
      <c r="N13" s="4"/>
      <c r="O13" s="12"/>
      <c r="P13" s="12"/>
      <c r="Q13" s="13" t="s">
        <v>31</v>
      </c>
      <c r="R13" s="13"/>
      <c r="S13" s="6" t="s">
        <v>18</v>
      </c>
      <c r="T13">
        <f>C13*Sayfa1!$E$6</f>
        <v>8.3000000000000004E-2</v>
      </c>
      <c r="U13">
        <f>D13*Sayfa1!$E$6</f>
        <v>0.1</v>
      </c>
      <c r="V13">
        <f>I13*Sayfa1!$E$6</f>
        <v>9.5000000000000001E-2</v>
      </c>
      <c r="W13">
        <f>J13*Sayfa1!$E$6</f>
        <v>9.5000000000000001E-2</v>
      </c>
      <c r="X13">
        <f>K13*Sayfa1!$E$6</f>
        <v>0.1</v>
      </c>
    </row>
    <row r="14" spans="2:24" x14ac:dyDescent="0.3">
      <c r="B14" s="7" t="s">
        <v>32</v>
      </c>
      <c r="C14" s="3">
        <v>93</v>
      </c>
      <c r="D14" s="3">
        <v>88</v>
      </c>
      <c r="E14" s="3">
        <v>98</v>
      </c>
      <c r="F14" s="3"/>
      <c r="G14" s="3"/>
      <c r="H14" s="3"/>
      <c r="I14" s="3">
        <v>100</v>
      </c>
      <c r="J14" s="3">
        <v>90</v>
      </c>
      <c r="K14" s="3"/>
      <c r="L14" s="3"/>
      <c r="M14" s="3"/>
      <c r="N14" s="3"/>
      <c r="O14" s="14"/>
      <c r="P14" s="14"/>
      <c r="Q14" s="13" t="s">
        <v>33</v>
      </c>
      <c r="R14" s="13"/>
      <c r="S14" s="8" t="s">
        <v>18</v>
      </c>
      <c r="T14">
        <f>C14*Sayfa1!$E$6</f>
        <v>9.2999999999999999E-2</v>
      </c>
      <c r="U14">
        <f>D14*Sayfa1!$E$6</f>
        <v>8.7999999999999995E-2</v>
      </c>
      <c r="V14">
        <f>I14*Sayfa1!$E$6</f>
        <v>0.1</v>
      </c>
      <c r="W14">
        <f>J14*Sayfa1!$E$6</f>
        <v>0.09</v>
      </c>
      <c r="X14">
        <f>K14*Sayfa1!$E$6</f>
        <v>0</v>
      </c>
    </row>
    <row r="15" spans="2:24" x14ac:dyDescent="0.3">
      <c r="B15" s="5" t="s">
        <v>34</v>
      </c>
      <c r="C15" s="4">
        <v>100</v>
      </c>
      <c r="D15" s="4">
        <v>96</v>
      </c>
      <c r="E15" s="4"/>
      <c r="F15" s="4"/>
      <c r="G15" s="4"/>
      <c r="H15" s="4"/>
      <c r="I15" s="4">
        <v>100</v>
      </c>
      <c r="J15" s="4">
        <v>100</v>
      </c>
      <c r="K15" s="4"/>
      <c r="L15" s="4"/>
      <c r="M15" s="4"/>
      <c r="N15" s="4"/>
      <c r="O15" s="12"/>
      <c r="P15" s="12"/>
      <c r="Q15" s="13">
        <v>99</v>
      </c>
      <c r="R15" s="13"/>
      <c r="S15" s="6" t="s">
        <v>18</v>
      </c>
      <c r="T15">
        <f>C15*Sayfa1!$E$6</f>
        <v>0.1</v>
      </c>
      <c r="U15">
        <f>D15*Sayfa1!$E$6</f>
        <v>9.6000000000000002E-2</v>
      </c>
      <c r="V15">
        <f>I15*Sayfa1!$E$6</f>
        <v>0.1</v>
      </c>
      <c r="W15">
        <f>J15*Sayfa1!$E$6</f>
        <v>0.1</v>
      </c>
      <c r="X15">
        <f>K15*Sayfa1!$E$6</f>
        <v>0</v>
      </c>
    </row>
    <row r="16" spans="2:24" x14ac:dyDescent="0.3">
      <c r="B16" s="7" t="s">
        <v>35</v>
      </c>
      <c r="C16" s="3">
        <v>70</v>
      </c>
      <c r="D16" s="3">
        <v>72</v>
      </c>
      <c r="E16" s="3"/>
      <c r="F16" s="3"/>
      <c r="G16" s="3"/>
      <c r="H16" s="3"/>
      <c r="I16" s="3">
        <v>100</v>
      </c>
      <c r="J16" s="3">
        <v>95</v>
      </c>
      <c r="K16" s="3">
        <v>95</v>
      </c>
      <c r="L16" s="3"/>
      <c r="M16" s="3"/>
      <c r="N16" s="3"/>
      <c r="O16" s="14"/>
      <c r="P16" s="14"/>
      <c r="Q16" s="13" t="s">
        <v>36</v>
      </c>
      <c r="R16" s="13"/>
      <c r="S16" s="8" t="s">
        <v>18</v>
      </c>
      <c r="T16">
        <f>C16*Sayfa1!$E$6</f>
        <v>7.0000000000000007E-2</v>
      </c>
      <c r="U16">
        <f>D16*Sayfa1!$E$6</f>
        <v>7.2000000000000008E-2</v>
      </c>
      <c r="V16">
        <f>I16*Sayfa1!$E$6</f>
        <v>0.1</v>
      </c>
      <c r="W16">
        <f>J16*Sayfa1!$E$6</f>
        <v>9.5000000000000001E-2</v>
      </c>
      <c r="X16">
        <f>K16*Sayfa1!$E$6</f>
        <v>9.5000000000000001E-2</v>
      </c>
    </row>
    <row r="17" spans="2:24" ht="15" thickBot="1" x14ac:dyDescent="0.35">
      <c r="B17" s="9" t="s">
        <v>37</v>
      </c>
      <c r="C17" s="10">
        <v>88</v>
      </c>
      <c r="D17" s="10">
        <v>91</v>
      </c>
      <c r="E17" s="10"/>
      <c r="F17" s="10"/>
      <c r="G17" s="10"/>
      <c r="H17" s="10"/>
      <c r="I17" s="10">
        <v>65</v>
      </c>
      <c r="J17" s="10">
        <v>100</v>
      </c>
      <c r="K17" s="10"/>
      <c r="L17" s="10"/>
      <c r="M17" s="10"/>
      <c r="N17" s="10"/>
      <c r="O17" s="15"/>
      <c r="P17" s="15"/>
      <c r="Q17" s="16">
        <v>86</v>
      </c>
      <c r="R17" s="16"/>
      <c r="S17" s="11" t="s">
        <v>18</v>
      </c>
      <c r="T17">
        <f>C17*Sayfa1!$E$6</f>
        <v>8.7999999999999995E-2</v>
      </c>
      <c r="U17">
        <f>D17*Sayfa1!$E$6</f>
        <v>9.0999999999999998E-2</v>
      </c>
      <c r="V17">
        <f>I17*Sayfa1!$E$6</f>
        <v>6.5000000000000002E-2</v>
      </c>
      <c r="W17">
        <f>J17*Sayfa1!$E$6</f>
        <v>0.1</v>
      </c>
      <c r="X17">
        <f>K17*Sayfa1!$E$6</f>
        <v>0</v>
      </c>
    </row>
    <row r="18" spans="2:24" x14ac:dyDescent="0.3">
      <c r="T18">
        <f>SUM(T5:T17)</f>
        <v>1.169</v>
      </c>
      <c r="U18">
        <f t="shared" ref="U18:X18" si="0">SUM(U5:U17)</f>
        <v>1.1139999999999999</v>
      </c>
      <c r="V18">
        <f t="shared" si="0"/>
        <v>1.24</v>
      </c>
      <c r="W18">
        <f t="shared" si="0"/>
        <v>1.27</v>
      </c>
      <c r="X18">
        <f t="shared" si="0"/>
        <v>0.39500000000000002</v>
      </c>
    </row>
    <row r="19" spans="2:24" x14ac:dyDescent="0.3">
      <c r="B19" s="5" t="s">
        <v>2</v>
      </c>
      <c r="C19">
        <v>12</v>
      </c>
      <c r="D19">
        <f>C19*Sayfa1!$E8</f>
        <v>1.2000000000000002E-4</v>
      </c>
      <c r="O19" s="1" t="s">
        <v>53</v>
      </c>
      <c r="P19" s="1" t="s">
        <v>54</v>
      </c>
      <c r="Q19" s="1" t="s">
        <v>55</v>
      </c>
      <c r="R19" s="1" t="s">
        <v>56</v>
      </c>
    </row>
    <row r="20" spans="2:24" x14ac:dyDescent="0.3">
      <c r="B20" s="7" t="s">
        <v>3</v>
      </c>
      <c r="C20">
        <v>8</v>
      </c>
      <c r="D20">
        <f>C20*Sayfa1!$E9</f>
        <v>8.0000000000000004E-4</v>
      </c>
      <c r="O20" s="1" t="s">
        <v>48</v>
      </c>
      <c r="P20" s="1"/>
      <c r="Q20" s="1" t="s">
        <v>51</v>
      </c>
      <c r="R20" s="1"/>
    </row>
    <row r="21" spans="2:24" ht="15" thickBot="1" x14ac:dyDescent="0.35">
      <c r="B21" s="9" t="s">
        <v>4</v>
      </c>
      <c r="C21">
        <v>100</v>
      </c>
      <c r="D21">
        <f>C21*Sayfa1!$E10</f>
        <v>1.4999999999999999E-2</v>
      </c>
      <c r="O21" s="1" t="s">
        <v>49</v>
      </c>
      <c r="P21" s="1"/>
      <c r="Q21" s="1" t="s">
        <v>52</v>
      </c>
      <c r="R21" s="1"/>
    </row>
    <row r="22" spans="2:24" x14ac:dyDescent="0.3">
      <c r="B22" s="5" t="s">
        <v>5</v>
      </c>
      <c r="C22">
        <v>3</v>
      </c>
      <c r="D22">
        <f>C22*Sayfa1!$E11</f>
        <v>-3.0000000000000003E-4</v>
      </c>
      <c r="O22" t="s">
        <v>50</v>
      </c>
      <c r="Q22" s="1">
        <f>SUM(T18:X18,D28)</f>
        <v>5.204019999999999</v>
      </c>
      <c r="R22" s="1"/>
    </row>
    <row r="23" spans="2:24" x14ac:dyDescent="0.3">
      <c r="B23" s="7" t="s">
        <v>6</v>
      </c>
      <c r="C23">
        <v>0</v>
      </c>
      <c r="D23">
        <f>C23*Sayfa1!$E12</f>
        <v>0</v>
      </c>
    </row>
    <row r="24" spans="2:24" ht="15" thickBot="1" x14ac:dyDescent="0.35">
      <c r="B24" s="9" t="s">
        <v>7</v>
      </c>
      <c r="C24">
        <v>1</v>
      </c>
      <c r="D24">
        <f>C24*Sayfa1!$E13</f>
        <v>5.0000000000000002E-5</v>
      </c>
    </row>
    <row r="25" spans="2:24" x14ac:dyDescent="0.3">
      <c r="B25" s="5" t="s">
        <v>8</v>
      </c>
      <c r="C25">
        <v>3</v>
      </c>
      <c r="D25">
        <f>C25*Sayfa1!$E14</f>
        <v>3.0000000000000003E-4</v>
      </c>
    </row>
    <row r="26" spans="2:24" x14ac:dyDescent="0.3">
      <c r="B26" s="7" t="s">
        <v>9</v>
      </c>
      <c r="C26">
        <v>1</v>
      </c>
      <c r="D26">
        <f>C26*Sayfa1!$E15</f>
        <v>5.0000000000000002E-5</v>
      </c>
    </row>
    <row r="27" spans="2:24" ht="15" thickBot="1" x14ac:dyDescent="0.35">
      <c r="B27" s="9" t="s">
        <v>10</v>
      </c>
      <c r="D27">
        <f>C27*Sayfa1!$E16</f>
        <v>0</v>
      </c>
    </row>
    <row r="28" spans="2:24" x14ac:dyDescent="0.3">
      <c r="D28">
        <f>SUM(D19:D27)</f>
        <v>1.6020000000000003E-2</v>
      </c>
    </row>
  </sheetData>
  <mergeCells count="48">
    <mergeCell ref="S2:S3"/>
    <mergeCell ref="O4:P4"/>
    <mergeCell ref="Q4:R4"/>
    <mergeCell ref="J2:J3"/>
    <mergeCell ref="K2:K3"/>
    <mergeCell ref="L2:L3"/>
    <mergeCell ref="M2:M3"/>
    <mergeCell ref="N2:N3"/>
    <mergeCell ref="O2:P3"/>
    <mergeCell ref="C2:C3"/>
    <mergeCell ref="D2:D3"/>
    <mergeCell ref="E2:E3"/>
    <mergeCell ref="F2:F3"/>
    <mergeCell ref="G2:G3"/>
    <mergeCell ref="I2:I3"/>
    <mergeCell ref="O16:P16"/>
    <mergeCell ref="Q16:R16"/>
    <mergeCell ref="O17:P17"/>
    <mergeCell ref="Q17:R17"/>
    <mergeCell ref="B1:B3"/>
    <mergeCell ref="C1:H1"/>
    <mergeCell ref="I1:K1"/>
    <mergeCell ref="L1:N1"/>
    <mergeCell ref="O1:P1"/>
    <mergeCell ref="Q1:S1"/>
    <mergeCell ref="O13:P13"/>
    <mergeCell ref="Q13:R13"/>
    <mergeCell ref="O14:P14"/>
    <mergeCell ref="Q14:R14"/>
    <mergeCell ref="O15:P15"/>
    <mergeCell ref="Q15:R15"/>
    <mergeCell ref="O10:P10"/>
    <mergeCell ref="Q10:R10"/>
    <mergeCell ref="O11:P11"/>
    <mergeCell ref="Q11:R11"/>
    <mergeCell ref="O12:P12"/>
    <mergeCell ref="Q12:R12"/>
    <mergeCell ref="O7:P7"/>
    <mergeCell ref="Q7:R7"/>
    <mergeCell ref="O8:P8"/>
    <mergeCell ref="Q8:R8"/>
    <mergeCell ref="O9:P9"/>
    <mergeCell ref="Q9:R9"/>
    <mergeCell ref="O5:P5"/>
    <mergeCell ref="Q5:R5"/>
    <mergeCell ref="O6:P6"/>
    <mergeCell ref="Q6:R6"/>
    <mergeCell ref="Q2:R3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Sayfa1</vt:lpstr>
      <vt:lpstr>Sayfa2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2022-04-20T13:02:51Z</dcterms:modified>
</cp:coreProperties>
</file>